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entri da66\"/>
    </mc:Choice>
  </mc:AlternateContent>
  <xr:revisionPtr revIDLastSave="0" documentId="8_{542AC575-BCCC-4C39-A9B0-696020B67F3E}" xr6:coauthVersionLast="47" xr6:coauthVersionMax="47" xr10:uidLastSave="{00000000-0000-0000-0000-000000000000}"/>
  <bookViews>
    <workbookView xWindow="-120" yWindow="-120" windowWidth="20730" windowHeight="11160" xr2:uid="{96C91F2C-E7DA-40FC-8B05-7DF9BCA4EC5F}"/>
  </bookViews>
  <sheets>
    <sheet name="cleaned data using powerquery" sheetId="2" r:id="rId1"/>
    <sheet name="row data" sheetId="1" r:id="rId2"/>
    <sheet name="cleaning using excel" sheetId="4" r:id="rId3"/>
    <sheet name="data analysis result" sheetId="6" r:id="rId4"/>
  </sheets>
  <definedNames>
    <definedName name="ExternalData_1" localSheetId="0" hidden="1">'cleaned data using powerquery'!$A$1:$H$14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4" l="1"/>
  <c r="I14" i="4"/>
  <c r="G14" i="4"/>
  <c r="H14" i="4" s="1"/>
  <c r="J13" i="4"/>
  <c r="I13" i="4"/>
  <c r="G13" i="4"/>
  <c r="H13" i="4" s="1"/>
  <c r="J12" i="4"/>
  <c r="I12" i="4"/>
  <c r="G12" i="4"/>
  <c r="H12" i="4" s="1"/>
  <c r="J11" i="4"/>
  <c r="I11" i="4"/>
  <c r="G11" i="4"/>
  <c r="H11" i="4" s="1"/>
  <c r="J10" i="4"/>
  <c r="I10" i="4"/>
  <c r="G10" i="4"/>
  <c r="H10" i="4" s="1"/>
  <c r="J9" i="4"/>
  <c r="I9" i="4"/>
  <c r="G9" i="4"/>
  <c r="H9" i="4" s="1"/>
  <c r="J8" i="4"/>
  <c r="I8" i="4"/>
  <c r="G8" i="4"/>
  <c r="H8" i="4" s="1"/>
  <c r="J7" i="4"/>
  <c r="I7" i="4"/>
  <c r="G7" i="4"/>
  <c r="H7" i="4" s="1"/>
  <c r="J6" i="4"/>
  <c r="I6" i="4"/>
  <c r="G6" i="4"/>
  <c r="H6" i="4" s="1"/>
  <c r="J5" i="4"/>
  <c r="I5" i="4"/>
  <c r="G5" i="4"/>
  <c r="H5" i="4" s="1"/>
  <c r="J4" i="4"/>
  <c r="I4" i="4"/>
  <c r="G4" i="4"/>
  <c r="H4" i="4" s="1"/>
  <c r="J3" i="4"/>
  <c r="I3" i="4"/>
  <c r="G3" i="4"/>
  <c r="H3" i="4" s="1"/>
  <c r="J2" i="4"/>
  <c r="I2" i="4"/>
  <c r="G2" i="4"/>
  <c r="H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EB932E-DE5C-42CE-9AD0-4FF229255735}" keepAlive="1" name="Query - Sheet2" description="Connection to the 'Sheet2' query in the workbook." type="5" refreshedVersion="8" background="1" saveData="1">
    <dbPr connection="Provider=Microsoft.Mashup.OleDb.1;Data Source=$Workbook$;Location=Sheet2;Extended Properties=&quot;&quot;" command="SELECT * FROM [Sheet2]"/>
  </connection>
  <connection id="2" xr16:uid="{49E1154E-4B80-4553-84FC-0D9839851C27}" keepAlive="1" name="Query - Sheet2 (2)" description="Connection to the 'Sheet2 (2)' query in the workbook." type="5" refreshedVersion="8" background="1" saveData="1">
    <dbPr connection="Provider=Microsoft.Mashup.OleDb.1;Data Source=$Workbook$;Location=&quot;Sheet2 (2)&quot;;Extended Properties=&quot;&quot;" command="SELECT * FROM [Sheet2 (2)]"/>
  </connection>
  <connection id="3" xr16:uid="{FDB7E9D1-A3D6-4E07-873F-098AD786250A}" keepAlive="1" name="Query - Sheet2 (3)" description="Connection to the 'Sheet2 (3)' query in the workbook." type="5" refreshedVersion="0" background="1">
    <dbPr connection="Provider=Microsoft.Mashup.OleDb.1;Data Source=$Workbook$;Location=&quot;Sheet2 (3)&quot;;Extended Properties=&quot;&quot;" command="SELECT * FROM [Sheet2 (3)]"/>
  </connection>
</connections>
</file>

<file path=xl/sharedStrings.xml><?xml version="1.0" encoding="utf-8"?>
<sst xmlns="http://schemas.openxmlformats.org/spreadsheetml/2006/main" count="236" uniqueCount="92">
  <si>
    <t>Sales ID</t>
  </si>
  <si>
    <t>Product Name</t>
  </si>
  <si>
    <t>Region_Product_Code</t>
  </si>
  <si>
    <t>Quantity</t>
  </si>
  <si>
    <t>Salesperson</t>
  </si>
  <si>
    <t>cleanedsales amount</t>
  </si>
  <si>
    <t>Region</t>
  </si>
  <si>
    <t>product code</t>
  </si>
  <si>
    <t>S001</t>
  </si>
  <si>
    <t>iPhone 15</t>
  </si>
  <si>
    <t>South_P001</t>
  </si>
  <si>
    <t>Anu</t>
  </si>
  <si>
    <t>South</t>
  </si>
  <si>
    <t>P001</t>
  </si>
  <si>
    <t>S002</t>
  </si>
  <si>
    <t>Rahul</t>
  </si>
  <si>
    <t>S003</t>
  </si>
  <si>
    <t>North_P001</t>
  </si>
  <si>
    <t>Meera</t>
  </si>
  <si>
    <t>North</t>
  </si>
  <si>
    <t>S004</t>
  </si>
  <si>
    <t>Iphone 15</t>
  </si>
  <si>
    <t>Arun</t>
  </si>
  <si>
    <t>S005</t>
  </si>
  <si>
    <t>Samsung Galaxy S24</t>
  </si>
  <si>
    <t>East_P002</t>
  </si>
  <si>
    <t>East</t>
  </si>
  <si>
    <t>P002</t>
  </si>
  <si>
    <t>S006</t>
  </si>
  <si>
    <t>S007</t>
  </si>
  <si>
    <t>West_P002</t>
  </si>
  <si>
    <t>West</t>
  </si>
  <si>
    <t>S008</t>
  </si>
  <si>
    <t>Dell  Laptop</t>
  </si>
  <si>
    <t>South_P003</t>
  </si>
  <si>
    <t>P003</t>
  </si>
  <si>
    <t>S009</t>
  </si>
  <si>
    <t>S010</t>
  </si>
  <si>
    <t>Hp Laptop</t>
  </si>
  <si>
    <t>North_P004</t>
  </si>
  <si>
    <t>P004</t>
  </si>
  <si>
    <t>S011</t>
  </si>
  <si>
    <t>S012</t>
  </si>
  <si>
    <t>Lenovo Thinkpad</t>
  </si>
  <si>
    <t>East_P005</t>
  </si>
  <si>
    <t>P005</t>
  </si>
  <si>
    <t>S013</t>
  </si>
  <si>
    <t>Lenovo  Thinkpad</t>
  </si>
  <si>
    <t>Sales Amount</t>
  </si>
  <si>
    <t>iphone 15</t>
  </si>
  <si>
    <t>IPHONE 15</t>
  </si>
  <si>
    <t>iphon 15</t>
  </si>
  <si>
    <t>product name is Inconsistent becouse of spacing,spelling and casing</t>
  </si>
  <si>
    <t>samsung galaxy s24</t>
  </si>
  <si>
    <r>
      <t>Region_Product_Code</t>
    </r>
    <r>
      <rPr>
        <sz val="11"/>
        <color theme="1"/>
        <rFont val="Aptos Narrow"/>
        <family val="2"/>
        <scheme val="minor"/>
      </rPr>
      <t xml:space="preserve"> contains two pieces of information</t>
    </r>
  </si>
  <si>
    <t>SAMSUNG GALAXY S24</t>
  </si>
  <si>
    <r>
      <t>sales id have duplication =S009</t>
    </r>
    <r>
      <rPr>
        <sz val="11"/>
        <color theme="1"/>
        <rFont val="Aptos Narrow"/>
        <family val="2"/>
        <scheme val="minor"/>
      </rPr>
      <t xml:space="preserve"> appears twice with exactly the same information</t>
    </r>
  </si>
  <si>
    <t>Dell Laptop</t>
  </si>
  <si>
    <t>sales amout=Numeric fields contain text/symbols</t>
  </si>
  <si>
    <t>HP Laptop</t>
  </si>
  <si>
    <t>HP laptop</t>
  </si>
  <si>
    <t>90000 units</t>
  </si>
  <si>
    <t>Lenovo ThinkPad</t>
  </si>
  <si>
    <t>$1,50,000</t>
  </si>
  <si>
    <t>lenovo thinkpad</t>
  </si>
  <si>
    <t>Column1</t>
  </si>
  <si>
    <t>mean=98461.5384</t>
  </si>
  <si>
    <t>standard deviation=47538.7830</t>
  </si>
  <si>
    <t>cleaned product name</t>
  </si>
  <si>
    <t>region</t>
  </si>
  <si>
    <t>iphone  15</t>
  </si>
  <si>
    <t>IPHONE  15</t>
  </si>
  <si>
    <t>Iphone  15</t>
  </si>
  <si>
    <t>lenovo  thinkpad</t>
  </si>
  <si>
    <t>product name cleaned using trim and proper function</t>
  </si>
  <si>
    <t xml:space="preserve">dulpicate remove using delete colomn </t>
  </si>
  <si>
    <t>sales amount correct using replace option</t>
  </si>
  <si>
    <t>merged colomn separate using textbefore and textafter function</t>
  </si>
  <si>
    <t>proper product name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</si>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</sst>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₹&quot;\ 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6" fontId="0" fillId="0" borderId="0" xfId="0" applyNumberFormat="1" applyAlignment="1">
      <alignment horizontal="right" vertical="center" wrapText="1"/>
    </xf>
    <xf numFmtId="0" fontId="2" fillId="0" borderId="0" xfId="0" applyFont="1"/>
    <xf numFmtId="164" fontId="1" fillId="0" borderId="0" xfId="0" applyNumberFormat="1" applyFont="1" applyAlignment="1">
      <alignment horizontal="right" vertical="center" wrapText="1"/>
    </xf>
    <xf numFmtId="0" fontId="3" fillId="0" borderId="1" xfId="0" applyFont="1" applyBorder="1" applyAlignment="1">
      <alignment horizontal="centerContinuous"/>
    </xf>
    <xf numFmtId="0" fontId="0" fillId="0" borderId="2" xfId="0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E7F5E2-BE61-4C95-8139-ED600F5636B4}" autoFormatId="16" applyNumberFormats="0" applyBorderFormats="0" applyFontFormats="0" applyPatternFormats="0" applyAlignmentFormats="0" applyWidthHeightFormats="0">
  <queryTableRefresh nextId="10">
    <queryTableFields count="8">
      <queryTableField id="1" name="Sales ID" tableColumnId="1"/>
      <queryTableField id="2" name="Product Name" tableColumnId="2"/>
      <queryTableField id="3" name="Region_Product_Code" tableColumnId="3"/>
      <queryTableField id="4" name="Quantity" tableColumnId="4"/>
      <queryTableField id="5" name="Salesperson" tableColumnId="5"/>
      <queryTableField id="6" name="cleanedsales amount" tableColumnId="6"/>
      <queryTableField id="7" name="Region" tableColumnId="7"/>
      <queryTableField id="8" name="product cod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4498E8-77B5-45EB-B4A1-C983C8F634B3}" name="Sheet2" displayName="Sheet2" ref="A1:H14" tableType="queryTable" totalsRowShown="0">
  <autoFilter ref="A1:H14" xr:uid="{934498E8-77B5-45EB-B4A1-C983C8F634B3}"/>
  <tableColumns count="8">
    <tableColumn id="1" xr3:uid="{010BCAAC-653A-4FBB-84CB-A4947D254AAB}" uniqueName="1" name="Sales ID" queryTableFieldId="1"/>
    <tableColumn id="2" xr3:uid="{2B3AD9C5-9B5E-4F82-B7E1-417ABE548B6E}" uniqueName="2" name="Product Name" queryTableFieldId="2" dataDxfId="2"/>
    <tableColumn id="3" xr3:uid="{398C26A3-3D13-46AC-93E4-834E8EC3C18D}" uniqueName="3" name="Region_Product_Code" queryTableFieldId="3"/>
    <tableColumn id="4" xr3:uid="{05D5C14F-362C-4FDB-B2C4-7B1DEDB5443A}" uniqueName="4" name="Quantity" queryTableFieldId="4"/>
    <tableColumn id="5" xr3:uid="{463DAE34-3E2A-43BC-AF1E-3882EF4AF30D}" uniqueName="5" name="Salesperson" queryTableFieldId="5"/>
    <tableColumn id="6" xr3:uid="{8195F2DC-C28B-4A69-9B07-BBBD13D6DED8}" uniqueName="6" name="cleanedsales amount" queryTableFieldId="6"/>
    <tableColumn id="7" xr3:uid="{4378ACBF-90A4-42F0-B8CC-E531AD2AAF6C}" uniqueName="7" name="Region" queryTableFieldId="7" dataDxfId="1"/>
    <tableColumn id="8" xr3:uid="{92074654-A81B-4AA7-AA2B-78F997F1AD30}" uniqueName="8" name="product cod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50999-C02E-46BD-924C-4D1923D5E0A8}">
  <dimension ref="A1:H19"/>
  <sheetViews>
    <sheetView tabSelected="1" workbookViewId="0">
      <selection activeCell="F18" sqref="F18"/>
    </sheetView>
  </sheetViews>
  <sheetFormatPr defaultRowHeight="15" x14ac:dyDescent="0.25"/>
  <cols>
    <col min="1" max="1" width="10.5703125" bestFit="1" customWidth="1"/>
    <col min="2" max="2" width="19.140625" bestFit="1" customWidth="1"/>
    <col min="3" max="3" width="23.42578125" bestFit="1" customWidth="1"/>
    <col min="4" max="4" width="11" bestFit="1" customWidth="1"/>
    <col min="5" max="5" width="14.42578125" bestFit="1" customWidth="1"/>
    <col min="6" max="6" width="22.7109375" bestFit="1" customWidth="1"/>
    <col min="7" max="7" width="9.5703125" bestFit="1" customWidth="1"/>
    <col min="8" max="8" width="15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 t="s">
        <v>9</v>
      </c>
      <c r="C2" t="s">
        <v>10</v>
      </c>
      <c r="D2">
        <v>2</v>
      </c>
      <c r="E2" t="s">
        <v>11</v>
      </c>
      <c r="F2">
        <v>140000</v>
      </c>
      <c r="G2" s="1" t="s">
        <v>12</v>
      </c>
      <c r="H2" s="1" t="s">
        <v>13</v>
      </c>
    </row>
    <row r="3" spans="1:8" x14ac:dyDescent="0.25">
      <c r="A3" t="s">
        <v>14</v>
      </c>
      <c r="B3" s="1" t="s">
        <v>9</v>
      </c>
      <c r="C3" t="s">
        <v>10</v>
      </c>
      <c r="D3">
        <v>1</v>
      </c>
      <c r="E3" t="s">
        <v>15</v>
      </c>
      <c r="F3">
        <v>70000</v>
      </c>
      <c r="G3" s="1" t="s">
        <v>12</v>
      </c>
      <c r="H3" s="1" t="s">
        <v>13</v>
      </c>
    </row>
    <row r="4" spans="1:8" x14ac:dyDescent="0.25">
      <c r="A4" t="s">
        <v>16</v>
      </c>
      <c r="B4" s="1" t="s">
        <v>9</v>
      </c>
      <c r="C4" t="s">
        <v>17</v>
      </c>
      <c r="D4">
        <v>3</v>
      </c>
      <c r="E4" t="s">
        <v>18</v>
      </c>
      <c r="F4">
        <v>210000</v>
      </c>
      <c r="G4" s="1" t="s">
        <v>19</v>
      </c>
      <c r="H4" s="1" t="s">
        <v>13</v>
      </c>
    </row>
    <row r="5" spans="1:8" x14ac:dyDescent="0.25">
      <c r="A5" t="s">
        <v>20</v>
      </c>
      <c r="B5" s="1" t="s">
        <v>9</v>
      </c>
      <c r="C5" t="s">
        <v>17</v>
      </c>
      <c r="D5">
        <v>1</v>
      </c>
      <c r="E5" t="s">
        <v>22</v>
      </c>
      <c r="F5">
        <v>70000</v>
      </c>
      <c r="G5" s="1" t="s">
        <v>19</v>
      </c>
      <c r="H5" s="1" t="s">
        <v>13</v>
      </c>
    </row>
    <row r="6" spans="1:8" x14ac:dyDescent="0.25">
      <c r="A6" t="s">
        <v>23</v>
      </c>
      <c r="B6" s="1" t="s">
        <v>24</v>
      </c>
      <c r="C6" t="s">
        <v>25</v>
      </c>
      <c r="D6">
        <v>2</v>
      </c>
      <c r="E6" t="s">
        <v>11</v>
      </c>
      <c r="F6">
        <v>120000</v>
      </c>
      <c r="G6" s="1" t="s">
        <v>26</v>
      </c>
      <c r="H6" s="1" t="s">
        <v>27</v>
      </c>
    </row>
    <row r="7" spans="1:8" x14ac:dyDescent="0.25">
      <c r="A7" t="s">
        <v>28</v>
      </c>
      <c r="B7" s="1" t="s">
        <v>24</v>
      </c>
      <c r="C7" t="s">
        <v>25</v>
      </c>
      <c r="D7">
        <v>1</v>
      </c>
      <c r="E7" t="s">
        <v>15</v>
      </c>
      <c r="F7">
        <v>60000</v>
      </c>
      <c r="G7" s="1" t="s">
        <v>26</v>
      </c>
      <c r="H7" s="1" t="s">
        <v>27</v>
      </c>
    </row>
    <row r="8" spans="1:8" x14ac:dyDescent="0.25">
      <c r="A8" t="s">
        <v>29</v>
      </c>
      <c r="B8" s="1" t="s">
        <v>24</v>
      </c>
      <c r="C8" t="s">
        <v>30</v>
      </c>
      <c r="D8">
        <v>2</v>
      </c>
      <c r="E8" t="s">
        <v>18</v>
      </c>
      <c r="F8">
        <v>120000</v>
      </c>
      <c r="G8" s="1" t="s">
        <v>31</v>
      </c>
      <c r="H8" s="1" t="s">
        <v>27</v>
      </c>
    </row>
    <row r="9" spans="1:8" x14ac:dyDescent="0.25">
      <c r="A9" t="s">
        <v>32</v>
      </c>
      <c r="B9" s="1" t="s">
        <v>33</v>
      </c>
      <c r="C9" t="s">
        <v>34</v>
      </c>
      <c r="D9">
        <v>1</v>
      </c>
      <c r="E9" t="s">
        <v>22</v>
      </c>
      <c r="F9">
        <v>55000</v>
      </c>
      <c r="G9" s="1" t="s">
        <v>12</v>
      </c>
      <c r="H9" s="1" t="s">
        <v>35</v>
      </c>
    </row>
    <row r="10" spans="1:8" x14ac:dyDescent="0.25">
      <c r="A10" t="s">
        <v>36</v>
      </c>
      <c r="B10" s="1" t="s">
        <v>33</v>
      </c>
      <c r="C10" t="s">
        <v>34</v>
      </c>
      <c r="D10">
        <v>1</v>
      </c>
      <c r="E10" t="s">
        <v>22</v>
      </c>
      <c r="F10">
        <v>55000</v>
      </c>
      <c r="G10" s="1" t="s">
        <v>12</v>
      </c>
      <c r="H10" s="1" t="s">
        <v>35</v>
      </c>
    </row>
    <row r="11" spans="1:8" x14ac:dyDescent="0.25">
      <c r="A11" t="s">
        <v>37</v>
      </c>
      <c r="B11" s="1" t="s">
        <v>38</v>
      </c>
      <c r="C11" t="s">
        <v>39</v>
      </c>
      <c r="D11">
        <v>2</v>
      </c>
      <c r="E11" t="s">
        <v>11</v>
      </c>
      <c r="F11">
        <v>90000</v>
      </c>
      <c r="G11" s="1" t="s">
        <v>19</v>
      </c>
      <c r="H11" s="1" t="s">
        <v>40</v>
      </c>
    </row>
    <row r="12" spans="1:8" x14ac:dyDescent="0.25">
      <c r="A12" t="s">
        <v>41</v>
      </c>
      <c r="B12" s="1" t="s">
        <v>38</v>
      </c>
      <c r="C12" t="s">
        <v>39</v>
      </c>
      <c r="D12">
        <v>1</v>
      </c>
      <c r="E12" t="s">
        <v>15</v>
      </c>
      <c r="F12">
        <v>90000</v>
      </c>
      <c r="G12" s="1" t="s">
        <v>19</v>
      </c>
      <c r="H12" s="1" t="s">
        <v>40</v>
      </c>
    </row>
    <row r="13" spans="1:8" x14ac:dyDescent="0.25">
      <c r="A13" t="s">
        <v>42</v>
      </c>
      <c r="B13" s="1" t="s">
        <v>43</v>
      </c>
      <c r="C13" t="s">
        <v>44</v>
      </c>
      <c r="D13">
        <v>3</v>
      </c>
      <c r="E13" t="s">
        <v>18</v>
      </c>
      <c r="F13">
        <v>150000</v>
      </c>
      <c r="G13" s="1" t="s">
        <v>26</v>
      </c>
      <c r="H13" s="1" t="s">
        <v>45</v>
      </c>
    </row>
    <row r="14" spans="1:8" x14ac:dyDescent="0.25">
      <c r="A14" t="s">
        <v>46</v>
      </c>
      <c r="B14" s="1" t="s">
        <v>47</v>
      </c>
      <c r="C14" t="s">
        <v>44</v>
      </c>
      <c r="D14">
        <v>1</v>
      </c>
      <c r="E14" t="s">
        <v>22</v>
      </c>
      <c r="F14">
        <v>50000</v>
      </c>
      <c r="G14" s="1" t="s">
        <v>26</v>
      </c>
      <c r="H14" s="1" t="s">
        <v>45</v>
      </c>
    </row>
    <row r="18" spans="6:6" x14ac:dyDescent="0.25">
      <c r="F18" t="s">
        <v>66</v>
      </c>
    </row>
    <row r="19" spans="6:6" x14ac:dyDescent="0.25">
      <c r="F19" t="s">
        <v>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9068-C9D6-4FCD-A73E-0E2E4B0E2ECB}">
  <dimension ref="A1:I15"/>
  <sheetViews>
    <sheetView workbookViewId="0">
      <selection sqref="A1:F15"/>
    </sheetView>
  </sheetViews>
  <sheetFormatPr defaultRowHeight="15" x14ac:dyDescent="0.25"/>
  <cols>
    <col min="1" max="1" width="17.42578125" customWidth="1"/>
    <col min="2" max="2" width="23.42578125" customWidth="1"/>
    <col min="3" max="3" width="20.85546875" customWidth="1"/>
    <col min="4" max="4" width="13.85546875" customWidth="1"/>
    <col min="5" max="5" width="14.140625" customWidth="1"/>
    <col min="6" max="6" width="13.5703125" customWidth="1"/>
  </cols>
  <sheetData>
    <row r="1" spans="1:9" ht="18" customHeigh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48</v>
      </c>
      <c r="F1" s="2" t="s">
        <v>4</v>
      </c>
    </row>
    <row r="2" spans="1:9" ht="15" customHeight="1" x14ac:dyDescent="0.25">
      <c r="A2" s="4" t="s">
        <v>8</v>
      </c>
      <c r="B2" s="4" t="s">
        <v>49</v>
      </c>
      <c r="C2" s="4" t="s">
        <v>10</v>
      </c>
      <c r="D2" s="5">
        <v>2</v>
      </c>
      <c r="E2" s="6">
        <v>140000</v>
      </c>
      <c r="F2" s="4" t="s">
        <v>11</v>
      </c>
    </row>
    <row r="3" spans="1:9" ht="14.25" customHeight="1" x14ac:dyDescent="0.25">
      <c r="A3" s="4" t="s">
        <v>14</v>
      </c>
      <c r="B3" s="4" t="s">
        <v>50</v>
      </c>
      <c r="C3" s="4" t="s">
        <v>10</v>
      </c>
      <c r="D3" s="5">
        <v>1</v>
      </c>
      <c r="E3" s="6">
        <v>70000</v>
      </c>
      <c r="F3" s="4" t="s">
        <v>15</v>
      </c>
    </row>
    <row r="4" spans="1:9" ht="15" customHeight="1" x14ac:dyDescent="0.25">
      <c r="A4" s="4" t="s">
        <v>16</v>
      </c>
      <c r="B4" s="4" t="s">
        <v>21</v>
      </c>
      <c r="C4" s="4" t="s">
        <v>17</v>
      </c>
      <c r="D4" s="5">
        <v>3</v>
      </c>
      <c r="E4" s="6">
        <v>210000</v>
      </c>
      <c r="F4" s="4" t="s">
        <v>18</v>
      </c>
    </row>
    <row r="5" spans="1:9" ht="18" customHeight="1" x14ac:dyDescent="0.25">
      <c r="A5" s="4" t="s">
        <v>20</v>
      </c>
      <c r="B5" s="4" t="s">
        <v>51</v>
      </c>
      <c r="C5" s="4" t="s">
        <v>17</v>
      </c>
      <c r="D5" s="5">
        <v>1</v>
      </c>
      <c r="E5" s="6">
        <v>70000</v>
      </c>
      <c r="F5" s="4" t="s">
        <v>22</v>
      </c>
    </row>
    <row r="6" spans="1:9" ht="18.75" customHeight="1" x14ac:dyDescent="0.25">
      <c r="A6" s="4" t="s">
        <v>23</v>
      </c>
      <c r="B6" s="4" t="s">
        <v>24</v>
      </c>
      <c r="C6" s="4" t="s">
        <v>25</v>
      </c>
      <c r="D6" s="5">
        <v>2</v>
      </c>
      <c r="E6" s="6">
        <v>120000</v>
      </c>
      <c r="F6" s="4" t="s">
        <v>11</v>
      </c>
      <c r="I6" t="s">
        <v>52</v>
      </c>
    </row>
    <row r="7" spans="1:9" ht="20.25" customHeight="1" x14ac:dyDescent="0.3">
      <c r="A7" s="4" t="s">
        <v>28</v>
      </c>
      <c r="B7" s="4" t="s">
        <v>53</v>
      </c>
      <c r="C7" s="4" t="s">
        <v>25</v>
      </c>
      <c r="D7" s="5">
        <v>1</v>
      </c>
      <c r="E7" s="6">
        <v>60000</v>
      </c>
      <c r="F7" s="4" t="s">
        <v>15</v>
      </c>
      <c r="I7" s="7" t="s">
        <v>54</v>
      </c>
    </row>
    <row r="8" spans="1:9" ht="21.75" customHeight="1" x14ac:dyDescent="0.3">
      <c r="A8" s="4" t="s">
        <v>29</v>
      </c>
      <c r="B8" s="4" t="s">
        <v>55</v>
      </c>
      <c r="C8" s="4" t="s">
        <v>30</v>
      </c>
      <c r="D8" s="5">
        <v>2</v>
      </c>
      <c r="E8" s="6">
        <v>120000</v>
      </c>
      <c r="F8" s="4" t="s">
        <v>18</v>
      </c>
      <c r="I8" s="7" t="s">
        <v>56</v>
      </c>
    </row>
    <row r="9" spans="1:9" ht="16.5" customHeight="1" x14ac:dyDescent="0.25">
      <c r="A9" s="4" t="s">
        <v>32</v>
      </c>
      <c r="B9" s="4" t="s">
        <v>57</v>
      </c>
      <c r="C9" s="4" t="s">
        <v>34</v>
      </c>
      <c r="D9" s="5">
        <v>1</v>
      </c>
      <c r="E9" s="6">
        <v>55000</v>
      </c>
      <c r="F9" s="4" t="s">
        <v>22</v>
      </c>
      <c r="I9" t="s">
        <v>58</v>
      </c>
    </row>
    <row r="10" spans="1:9" ht="21" customHeight="1" x14ac:dyDescent="0.25">
      <c r="A10" s="4" t="s">
        <v>36</v>
      </c>
      <c r="B10" s="4" t="s">
        <v>57</v>
      </c>
      <c r="C10" s="4" t="s">
        <v>34</v>
      </c>
      <c r="D10" s="5">
        <v>1</v>
      </c>
      <c r="E10" s="6">
        <v>55000</v>
      </c>
      <c r="F10" s="4" t="s">
        <v>22</v>
      </c>
    </row>
    <row r="11" spans="1:9" ht="20.25" customHeight="1" x14ac:dyDescent="0.25">
      <c r="A11" s="4" t="s">
        <v>36</v>
      </c>
      <c r="B11" s="4" t="s">
        <v>57</v>
      </c>
      <c r="C11" s="4" t="s">
        <v>34</v>
      </c>
      <c r="D11" s="5">
        <v>1</v>
      </c>
      <c r="E11" s="6">
        <v>55000</v>
      </c>
      <c r="F11" s="4" t="s">
        <v>22</v>
      </c>
    </row>
    <row r="12" spans="1:9" ht="18" customHeight="1" x14ac:dyDescent="0.25">
      <c r="A12" s="4" t="s">
        <v>37</v>
      </c>
      <c r="B12" s="4" t="s">
        <v>59</v>
      </c>
      <c r="C12" s="4" t="s">
        <v>39</v>
      </c>
      <c r="D12" s="5">
        <v>2</v>
      </c>
      <c r="E12" s="6">
        <v>90000</v>
      </c>
      <c r="F12" s="4" t="s">
        <v>11</v>
      </c>
    </row>
    <row r="13" spans="1:9" ht="21" customHeight="1" x14ac:dyDescent="0.25">
      <c r="A13" s="4" t="s">
        <v>41</v>
      </c>
      <c r="B13" s="4" t="s">
        <v>60</v>
      </c>
      <c r="C13" s="4" t="s">
        <v>39</v>
      </c>
      <c r="D13" s="5">
        <v>1</v>
      </c>
      <c r="E13" s="5" t="s">
        <v>61</v>
      </c>
      <c r="F13" s="4" t="s">
        <v>15</v>
      </c>
    </row>
    <row r="14" spans="1:9" ht="20.25" customHeight="1" x14ac:dyDescent="0.25">
      <c r="A14" s="4" t="s">
        <v>42</v>
      </c>
      <c r="B14" s="4" t="s">
        <v>62</v>
      </c>
      <c r="C14" s="4" t="s">
        <v>44</v>
      </c>
      <c r="D14" s="5">
        <v>3</v>
      </c>
      <c r="E14" s="5" t="s">
        <v>63</v>
      </c>
      <c r="F14" s="4" t="s">
        <v>18</v>
      </c>
    </row>
    <row r="15" spans="1:9" ht="19.5" customHeight="1" x14ac:dyDescent="0.25">
      <c r="A15" s="4" t="s">
        <v>46</v>
      </c>
      <c r="B15" s="4" t="s">
        <v>64</v>
      </c>
      <c r="C15" s="4" t="s">
        <v>44</v>
      </c>
      <c r="D15" s="5">
        <v>1</v>
      </c>
      <c r="E15" s="6">
        <v>50000</v>
      </c>
      <c r="F15" s="4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A4269-0601-4C08-9482-F6D751ECF708}">
  <dimension ref="A1:J19"/>
  <sheetViews>
    <sheetView workbookViewId="0">
      <selection activeCell="G5" sqref="G5"/>
    </sheetView>
  </sheetViews>
  <sheetFormatPr defaultRowHeight="15" x14ac:dyDescent="0.25"/>
  <cols>
    <col min="1" max="1" width="13.5703125" customWidth="1"/>
    <col min="2" max="2" width="21.7109375" customWidth="1"/>
    <col min="3" max="3" width="23.140625" customWidth="1"/>
    <col min="4" max="4" width="13.5703125" customWidth="1"/>
    <col min="5" max="5" width="14" customWidth="1"/>
    <col min="6" max="6" width="14.28515625" customWidth="1"/>
    <col min="7" max="7" width="21.7109375" customWidth="1"/>
    <col min="8" max="8" width="21" customWidth="1"/>
  </cols>
  <sheetData>
    <row r="1" spans="1:10" ht="15" customHeight="1" x14ac:dyDescent="0.25">
      <c r="A1" s="2" t="s">
        <v>0</v>
      </c>
      <c r="B1" s="2" t="s">
        <v>1</v>
      </c>
      <c r="C1" s="2" t="s">
        <v>2</v>
      </c>
      <c r="D1" s="3" t="s">
        <v>3</v>
      </c>
      <c r="E1" s="8" t="s">
        <v>48</v>
      </c>
      <c r="F1" s="2" t="s">
        <v>4</v>
      </c>
      <c r="G1" s="2" t="s">
        <v>68</v>
      </c>
      <c r="H1" s="2" t="s">
        <v>78</v>
      </c>
      <c r="I1" s="2" t="s">
        <v>69</v>
      </c>
      <c r="J1" s="2" t="s">
        <v>7</v>
      </c>
    </row>
    <row r="2" spans="1:10" ht="15" customHeight="1" x14ac:dyDescent="0.25">
      <c r="A2" s="4" t="s">
        <v>8</v>
      </c>
      <c r="B2" s="4" t="s">
        <v>70</v>
      </c>
      <c r="C2" s="4" t="s">
        <v>10</v>
      </c>
      <c r="D2" s="5">
        <v>2</v>
      </c>
      <c r="E2" s="5">
        <v>140000</v>
      </c>
      <c r="F2" s="4" t="s">
        <v>11</v>
      </c>
      <c r="G2" t="str">
        <f>TRIM(CLEAN(B2))</f>
        <v>iphone 15</v>
      </c>
      <c r="H2" t="str">
        <f>PROPER(G2)</f>
        <v>Iphone 15</v>
      </c>
      <c r="I2" t="str">
        <f>_xlfn.TEXTBEFORE(C2,"_")</f>
        <v>South</v>
      </c>
      <c r="J2" t="str">
        <f>_xlfn.TEXTAFTER(C2,"_")</f>
        <v>P001</v>
      </c>
    </row>
    <row r="3" spans="1:10" ht="15" customHeight="1" x14ac:dyDescent="0.25">
      <c r="A3" s="4" t="s">
        <v>14</v>
      </c>
      <c r="B3" s="4" t="s">
        <v>71</v>
      </c>
      <c r="C3" s="4" t="s">
        <v>10</v>
      </c>
      <c r="D3" s="5">
        <v>1</v>
      </c>
      <c r="E3" s="5">
        <v>70000</v>
      </c>
      <c r="F3" s="4" t="s">
        <v>15</v>
      </c>
      <c r="G3" t="str">
        <f t="shared" ref="G3:G14" si="0">TRIM(CLEAN(B3))</f>
        <v>IPHONE 15</v>
      </c>
      <c r="H3" t="str">
        <f t="shared" ref="H3:H14" si="1">PROPER(G3)</f>
        <v>Iphone 15</v>
      </c>
      <c r="I3" t="str">
        <f t="shared" ref="I3:I14" si="2">_xlfn.TEXTBEFORE(C3,"_")</f>
        <v>South</v>
      </c>
      <c r="J3" t="str">
        <f t="shared" ref="J3:J14" si="3">_xlfn.TEXTAFTER(C3,"_")</f>
        <v>P001</v>
      </c>
    </row>
    <row r="4" spans="1:10" ht="15" customHeight="1" x14ac:dyDescent="0.25">
      <c r="A4" s="4" t="s">
        <v>16</v>
      </c>
      <c r="B4" s="4" t="s">
        <v>72</v>
      </c>
      <c r="C4" s="4" t="s">
        <v>17</v>
      </c>
      <c r="D4" s="5">
        <v>3</v>
      </c>
      <c r="E4" s="5">
        <v>210000</v>
      </c>
      <c r="F4" s="4" t="s">
        <v>18</v>
      </c>
      <c r="G4" t="str">
        <f t="shared" si="0"/>
        <v>Iphone 15</v>
      </c>
      <c r="H4" t="str">
        <f t="shared" si="1"/>
        <v>Iphone 15</v>
      </c>
      <c r="I4" t="str">
        <f t="shared" si="2"/>
        <v>North</v>
      </c>
      <c r="J4" t="str">
        <f t="shared" si="3"/>
        <v>P001</v>
      </c>
    </row>
    <row r="5" spans="1:10" ht="15" customHeight="1" x14ac:dyDescent="0.25">
      <c r="A5" s="4" t="s">
        <v>20</v>
      </c>
      <c r="B5" s="4" t="s">
        <v>49</v>
      </c>
      <c r="C5" s="4" t="s">
        <v>17</v>
      </c>
      <c r="D5" s="5">
        <v>1</v>
      </c>
      <c r="E5" s="5">
        <v>70000</v>
      </c>
      <c r="F5" s="4" t="s">
        <v>22</v>
      </c>
      <c r="G5" t="str">
        <f t="shared" si="0"/>
        <v>iphone 15</v>
      </c>
      <c r="H5" t="str">
        <f t="shared" si="1"/>
        <v>Iphone 15</v>
      </c>
      <c r="I5" t="str">
        <f t="shared" si="2"/>
        <v>North</v>
      </c>
      <c r="J5" t="str">
        <f t="shared" si="3"/>
        <v>P001</v>
      </c>
    </row>
    <row r="6" spans="1:10" ht="15" customHeight="1" x14ac:dyDescent="0.25">
      <c r="A6" s="4" t="s">
        <v>23</v>
      </c>
      <c r="B6" s="4" t="s">
        <v>24</v>
      </c>
      <c r="C6" s="4" t="s">
        <v>25</v>
      </c>
      <c r="D6" s="5">
        <v>2</v>
      </c>
      <c r="E6" s="5">
        <v>120000</v>
      </c>
      <c r="F6" s="4" t="s">
        <v>11</v>
      </c>
      <c r="G6" t="str">
        <f t="shared" si="0"/>
        <v>Samsung Galaxy S24</v>
      </c>
      <c r="H6" t="str">
        <f t="shared" si="1"/>
        <v>Samsung Galaxy S24</v>
      </c>
      <c r="I6" t="str">
        <f t="shared" si="2"/>
        <v>East</v>
      </c>
      <c r="J6" t="str">
        <f t="shared" si="3"/>
        <v>P002</v>
      </c>
    </row>
    <row r="7" spans="1:10" ht="15" customHeight="1" x14ac:dyDescent="0.25">
      <c r="A7" s="4" t="s">
        <v>28</v>
      </c>
      <c r="B7" s="4" t="s">
        <v>53</v>
      </c>
      <c r="C7" s="4" t="s">
        <v>25</v>
      </c>
      <c r="D7" s="5">
        <v>1</v>
      </c>
      <c r="E7" s="5">
        <v>60000</v>
      </c>
      <c r="F7" s="4" t="s">
        <v>15</v>
      </c>
      <c r="G7" t="str">
        <f t="shared" si="0"/>
        <v>samsung galaxy s24</v>
      </c>
      <c r="H7" t="str">
        <f t="shared" si="1"/>
        <v>Samsung Galaxy S24</v>
      </c>
      <c r="I7" t="str">
        <f t="shared" si="2"/>
        <v>East</v>
      </c>
      <c r="J7" t="str">
        <f t="shared" si="3"/>
        <v>P002</v>
      </c>
    </row>
    <row r="8" spans="1:10" ht="15" customHeight="1" x14ac:dyDescent="0.25">
      <c r="A8" s="4" t="s">
        <v>29</v>
      </c>
      <c r="B8" s="4" t="s">
        <v>55</v>
      </c>
      <c r="C8" s="4" t="s">
        <v>30</v>
      </c>
      <c r="D8" s="5">
        <v>2</v>
      </c>
      <c r="E8" s="5">
        <v>120000</v>
      </c>
      <c r="F8" s="4" t="s">
        <v>18</v>
      </c>
      <c r="G8" t="str">
        <f t="shared" si="0"/>
        <v>SAMSUNG GALAXY S24</v>
      </c>
      <c r="H8" t="str">
        <f t="shared" si="1"/>
        <v>Samsung Galaxy S24</v>
      </c>
      <c r="I8" t="str">
        <f t="shared" si="2"/>
        <v>West</v>
      </c>
      <c r="J8" t="str">
        <f t="shared" si="3"/>
        <v>P002</v>
      </c>
    </row>
    <row r="9" spans="1:10" ht="15" customHeight="1" x14ac:dyDescent="0.25">
      <c r="A9" s="4" t="s">
        <v>32</v>
      </c>
      <c r="B9" s="4" t="s">
        <v>33</v>
      </c>
      <c r="C9" s="4" t="s">
        <v>34</v>
      </c>
      <c r="D9" s="5">
        <v>1</v>
      </c>
      <c r="E9" s="5">
        <v>55000</v>
      </c>
      <c r="F9" s="4" t="s">
        <v>22</v>
      </c>
      <c r="G9" t="str">
        <f t="shared" si="0"/>
        <v>Dell Laptop</v>
      </c>
      <c r="H9" t="str">
        <f t="shared" si="1"/>
        <v>Dell Laptop</v>
      </c>
      <c r="I9" t="str">
        <f t="shared" si="2"/>
        <v>South</v>
      </c>
      <c r="J9" t="str">
        <f t="shared" si="3"/>
        <v>P003</v>
      </c>
    </row>
    <row r="10" spans="1:10" ht="15" customHeight="1" x14ac:dyDescent="0.25">
      <c r="A10" s="4" t="s">
        <v>36</v>
      </c>
      <c r="B10" s="4" t="s">
        <v>33</v>
      </c>
      <c r="C10" s="4" t="s">
        <v>34</v>
      </c>
      <c r="D10" s="5">
        <v>1</v>
      </c>
      <c r="E10" s="5">
        <v>55000</v>
      </c>
      <c r="F10" s="4" t="s">
        <v>22</v>
      </c>
      <c r="G10" t="str">
        <f t="shared" si="0"/>
        <v>Dell Laptop</v>
      </c>
      <c r="H10" t="str">
        <f t="shared" si="1"/>
        <v>Dell Laptop</v>
      </c>
      <c r="I10" t="str">
        <f t="shared" si="2"/>
        <v>South</v>
      </c>
      <c r="J10" t="str">
        <f t="shared" si="3"/>
        <v>P003</v>
      </c>
    </row>
    <row r="11" spans="1:10" ht="15" customHeight="1" x14ac:dyDescent="0.25">
      <c r="A11" s="4" t="s">
        <v>37</v>
      </c>
      <c r="B11" s="4" t="s">
        <v>59</v>
      </c>
      <c r="C11" s="4" t="s">
        <v>39</v>
      </c>
      <c r="D11" s="5">
        <v>2</v>
      </c>
      <c r="E11" s="5">
        <v>90000</v>
      </c>
      <c r="F11" s="4" t="s">
        <v>11</v>
      </c>
      <c r="G11" t="str">
        <f t="shared" si="0"/>
        <v>HP Laptop</v>
      </c>
      <c r="H11" t="str">
        <f t="shared" si="1"/>
        <v>Hp Laptop</v>
      </c>
      <c r="I11" t="str">
        <f t="shared" si="2"/>
        <v>North</v>
      </c>
      <c r="J11" t="str">
        <f t="shared" si="3"/>
        <v>P004</v>
      </c>
    </row>
    <row r="12" spans="1:10" ht="15" customHeight="1" x14ac:dyDescent="0.25">
      <c r="A12" s="4" t="s">
        <v>41</v>
      </c>
      <c r="B12" s="4" t="s">
        <v>60</v>
      </c>
      <c r="C12" s="4" t="s">
        <v>39</v>
      </c>
      <c r="D12" s="5">
        <v>1</v>
      </c>
      <c r="E12" s="5">
        <v>90000</v>
      </c>
      <c r="F12" s="4" t="s">
        <v>15</v>
      </c>
      <c r="G12" t="str">
        <f t="shared" si="0"/>
        <v>HP laptop</v>
      </c>
      <c r="H12" t="str">
        <f t="shared" si="1"/>
        <v>Hp Laptop</v>
      </c>
      <c r="I12" t="str">
        <f t="shared" si="2"/>
        <v>North</v>
      </c>
      <c r="J12" t="str">
        <f t="shared" si="3"/>
        <v>P004</v>
      </c>
    </row>
    <row r="13" spans="1:10" ht="15" customHeight="1" x14ac:dyDescent="0.25">
      <c r="A13" s="4" t="s">
        <v>42</v>
      </c>
      <c r="B13" s="4" t="s">
        <v>62</v>
      </c>
      <c r="C13" s="4" t="s">
        <v>44</v>
      </c>
      <c r="D13" s="5">
        <v>3</v>
      </c>
      <c r="E13" s="5">
        <v>150000</v>
      </c>
      <c r="F13" s="4" t="s">
        <v>18</v>
      </c>
      <c r="G13" t="str">
        <f t="shared" si="0"/>
        <v>Lenovo ThinkPad</v>
      </c>
      <c r="H13" t="str">
        <f t="shared" si="1"/>
        <v>Lenovo Thinkpad</v>
      </c>
      <c r="I13" t="str">
        <f t="shared" si="2"/>
        <v>East</v>
      </c>
      <c r="J13" t="str">
        <f t="shared" si="3"/>
        <v>P005</v>
      </c>
    </row>
    <row r="14" spans="1:10" ht="15" customHeight="1" x14ac:dyDescent="0.25">
      <c r="A14" s="4" t="s">
        <v>46</v>
      </c>
      <c r="B14" s="4" t="s">
        <v>73</v>
      </c>
      <c r="C14" s="4" t="s">
        <v>44</v>
      </c>
      <c r="D14" s="5">
        <v>1</v>
      </c>
      <c r="E14" s="5">
        <v>50000</v>
      </c>
      <c r="F14" s="4" t="s">
        <v>22</v>
      </c>
      <c r="G14" t="str">
        <f t="shared" si="0"/>
        <v>lenovo thinkpad</v>
      </c>
      <c r="H14" t="str">
        <f t="shared" si="1"/>
        <v>Lenovo Thinkpad</v>
      </c>
      <c r="I14" t="str">
        <f t="shared" si="2"/>
        <v>East</v>
      </c>
      <c r="J14" t="str">
        <f t="shared" si="3"/>
        <v>P005</v>
      </c>
    </row>
    <row r="15" spans="1:10" ht="15" customHeight="1" x14ac:dyDescent="0.25"/>
    <row r="16" spans="1:10" x14ac:dyDescent="0.25">
      <c r="H16" t="s">
        <v>74</v>
      </c>
    </row>
    <row r="17" spans="8:8" x14ac:dyDescent="0.25">
      <c r="H17" t="s">
        <v>75</v>
      </c>
    </row>
    <row r="18" spans="8:8" x14ac:dyDescent="0.25">
      <c r="H18" t="s">
        <v>76</v>
      </c>
    </row>
    <row r="19" spans="8:8" x14ac:dyDescent="0.25">
      <c r="H19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60DF5-5368-4CB3-9523-E9FBBFA66DB2}">
  <dimension ref="A1:B15"/>
  <sheetViews>
    <sheetView workbookViewId="0">
      <selection activeCell="I14" sqref="I14"/>
    </sheetView>
  </sheetViews>
  <sheetFormatPr defaultRowHeight="15" x14ac:dyDescent="0.25"/>
  <cols>
    <col min="1" max="1" width="16.42578125" customWidth="1"/>
    <col min="2" max="2" width="13.85546875" customWidth="1"/>
  </cols>
  <sheetData>
    <row r="1" spans="1:2" x14ac:dyDescent="0.25">
      <c r="A1" s="9" t="s">
        <v>65</v>
      </c>
      <c r="B1" s="9"/>
    </row>
    <row r="3" spans="1:2" x14ac:dyDescent="0.25">
      <c r="A3" t="s">
        <v>79</v>
      </c>
      <c r="B3">
        <v>98461.538461538468</v>
      </c>
    </row>
    <row r="4" spans="1:2" x14ac:dyDescent="0.25">
      <c r="A4" t="s">
        <v>80</v>
      </c>
      <c r="B4">
        <v>13184.886153459365</v>
      </c>
    </row>
    <row r="5" spans="1:2" x14ac:dyDescent="0.25">
      <c r="A5" t="s">
        <v>81</v>
      </c>
      <c r="B5">
        <v>90000</v>
      </c>
    </row>
    <row r="6" spans="1:2" x14ac:dyDescent="0.25">
      <c r="A6" t="s">
        <v>82</v>
      </c>
      <c r="B6">
        <v>70000</v>
      </c>
    </row>
    <row r="7" spans="1:2" x14ac:dyDescent="0.25">
      <c r="A7" t="s">
        <v>83</v>
      </c>
      <c r="B7">
        <v>47538.783087452903</v>
      </c>
    </row>
    <row r="8" spans="1:2" x14ac:dyDescent="0.25">
      <c r="A8" t="s">
        <v>84</v>
      </c>
      <c r="B8">
        <v>2259935897.4358978</v>
      </c>
    </row>
    <row r="9" spans="1:2" x14ac:dyDescent="0.25">
      <c r="A9" t="s">
        <v>85</v>
      </c>
      <c r="B9">
        <v>0.96985813505779772</v>
      </c>
    </row>
    <row r="10" spans="1:2" x14ac:dyDescent="0.25">
      <c r="A10" t="s">
        <v>86</v>
      </c>
      <c r="B10">
        <v>1.1311687119606859</v>
      </c>
    </row>
    <row r="11" spans="1:2" x14ac:dyDescent="0.25">
      <c r="A11" t="s">
        <v>87</v>
      </c>
      <c r="B11">
        <v>160000</v>
      </c>
    </row>
    <row r="12" spans="1:2" x14ac:dyDescent="0.25">
      <c r="A12" t="s">
        <v>88</v>
      </c>
      <c r="B12">
        <v>50000</v>
      </c>
    </row>
    <row r="13" spans="1:2" x14ac:dyDescent="0.25">
      <c r="A13" t="s">
        <v>89</v>
      </c>
      <c r="B13">
        <v>210000</v>
      </c>
    </row>
    <row r="14" spans="1:2" x14ac:dyDescent="0.25">
      <c r="A14" t="s">
        <v>90</v>
      </c>
      <c r="B14">
        <v>1280000</v>
      </c>
    </row>
    <row r="15" spans="1:2" ht="15.75" thickBot="1" x14ac:dyDescent="0.3">
      <c r="A15" s="10" t="s">
        <v>91</v>
      </c>
      <c r="B15" s="10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9E3D00-587F-4C20-B735-A50C08FDC6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 using powerquery</vt:lpstr>
      <vt:lpstr>row data</vt:lpstr>
      <vt:lpstr>cleaning using excel</vt:lpstr>
      <vt:lpstr>data analysis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lissy rk</dc:creator>
  <cp:lastModifiedBy>lissy rk</cp:lastModifiedBy>
  <dcterms:created xsi:type="dcterms:W3CDTF">2026-08-10T04:45:13Z</dcterms:created>
  <dcterms:modified xsi:type="dcterms:W3CDTF">2026-08-10T07:43:51Z</dcterms:modified>
</cp:coreProperties>
</file>