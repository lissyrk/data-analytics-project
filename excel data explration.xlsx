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 folder\"/>
    </mc:Choice>
  </mc:AlternateContent>
  <xr:revisionPtr revIDLastSave="0" documentId="13_ncr:1_{4DE04BAD-12CE-410A-B088-B9C39D69AC80}" xr6:coauthVersionLast="47" xr6:coauthVersionMax="47" xr10:uidLastSave="{00000000-0000-0000-0000-000000000000}"/>
  <bookViews>
    <workbookView xWindow="-120" yWindow="-120" windowWidth="20730" windowHeight="11160" activeTab="1" xr2:uid="{96E6EF94-675E-40A7-9BA7-DF47EF5C4A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 a="1"/>
  <c r="I5" i="2" s="1"/>
  <c r="I3" i="2"/>
  <c r="I2" i="2"/>
  <c r="I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<sst xmlns="http://schemas.openxmlformats.org/spreadsheetml/2006/main" count="32" uniqueCount="23">
  <si>
    <t>Date</t>
  </si>
  <si>
    <t>Product Sales</t>
  </si>
  <si>
    <t>Amount</t>
  </si>
  <si>
    <t>Region</t>
  </si>
  <si>
    <t>Laptop</t>
  </si>
  <si>
    <t>Mobile</t>
  </si>
  <si>
    <t>Headphone</t>
  </si>
  <si>
    <t>Keyboard</t>
  </si>
  <si>
    <t>Mouse</t>
  </si>
  <si>
    <t>Charger</t>
  </si>
  <si>
    <t>Tablet</t>
  </si>
  <si>
    <t>South</t>
  </si>
  <si>
    <t>North</t>
  </si>
  <si>
    <t>East</t>
  </si>
  <si>
    <t>West</t>
  </si>
  <si>
    <t>a)To represent typical daily sales, choose the median because daily sales data often has extreme highs and lows that make the mean or mode misleading.</t>
  </si>
  <si>
    <t>a)Typical daily sales:median</t>
  </si>
  <si>
    <t>b)metric only for region south,sum metric</t>
  </si>
  <si>
    <t>b1)excel formula to calculate this metric only for region south,average metric</t>
  </si>
  <si>
    <t>c)Trimmean</t>
  </si>
  <si>
    <t>c1)capped average</t>
  </si>
  <si>
    <t xml:space="preserve">b)To calculate a sum metric for the region "South" while ignoring blank values, use the SUMIFS function with a non-blank criteria </t>
  </si>
  <si>
    <t xml:space="preserve">c)To reduce the impact of extreme values without deleting rows, use the TRIMMEAN Function, or use a custom cap formula.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</si>
</sst>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5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14" fontId="0" fillId="0" borderId="0" xfId="0" applyNumberFormat="1"/>
    <xf numFmtId="0" fontId="0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C59E-8D6B-4E1A-9465-0B28BA7AC191}">
  <dimension ref="A1:A15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15</v>
      </c>
    </row>
    <row r="2" spans="1:1" ht="15.75" x14ac:dyDescent="0.3">
      <c r="A2" t="s">
        <v>21</v>
      </c>
    </row>
    <row r="3" spans="1:1" x14ac:dyDescent="0.25">
      <c r="A3" s="4" t="s">
        <v>22</v>
      </c>
    </row>
    <row r="4" spans="1:1" x14ac:dyDescent="0.25">
      <c r="A4" s="5"/>
    </row>
    <row r="5" spans="1:1" ht="18.75" x14ac:dyDescent="0.25">
      <c r="A5" s="1"/>
    </row>
    <row r="6" spans="1:1" ht="18.75" x14ac:dyDescent="0.25">
      <c r="A6" s="1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ht="18.75" x14ac:dyDescent="0.25">
      <c r="A10" s="1"/>
    </row>
    <row r="11" spans="1:1" x14ac:dyDescent="0.25">
      <c r="A11" s="2"/>
    </row>
    <row r="12" spans="1:1" x14ac:dyDescent="0.25">
      <c r="A12" s="2"/>
    </row>
    <row r="15" spans="1:1" x14ac:dyDescent="0.25">
      <c r="A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EBC2-8D51-4DA4-9969-82E639F9E4DC}">
  <dimension ref="A1:I11"/>
  <sheetViews>
    <sheetView tabSelected="1" workbookViewId="0">
      <selection activeCell="I5" sqref="I5"/>
    </sheetView>
  </sheetViews>
  <sheetFormatPr defaultRowHeight="15" x14ac:dyDescent="0.25"/>
  <cols>
    <col min="1" max="1" width="19.28515625" customWidth="1"/>
    <col min="2" max="2" width="20.140625" customWidth="1"/>
    <col min="3" max="3" width="17.42578125" customWidth="1"/>
    <col min="4" max="4" width="14.85546875" customWidth="1"/>
    <col min="5" max="5" width="4.85546875" customWidth="1"/>
    <col min="6" max="7" width="4.7109375" customWidth="1"/>
    <col min="8" max="8" width="67.85546875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H1" t="s">
        <v>16</v>
      </c>
      <c r="I1">
        <f>MEDIAN(C2:C11)</f>
        <v>21500</v>
      </c>
    </row>
    <row r="2" spans="1:9" x14ac:dyDescent="0.25">
      <c r="A2" s="3">
        <v>46023</v>
      </c>
      <c r="B2" t="s">
        <v>4</v>
      </c>
      <c r="C2">
        <v>25000</v>
      </c>
      <c r="D2" t="s">
        <v>11</v>
      </c>
      <c r="H2" t="s">
        <v>17</v>
      </c>
      <c r="I2">
        <f>SUMIFS(C2:C11,D2:D11,"South",C2:C11,"&lt;&gt;")</f>
        <v>398200</v>
      </c>
    </row>
    <row r="3" spans="1:9" x14ac:dyDescent="0.25">
      <c r="A3" s="3">
        <v>46024</v>
      </c>
      <c r="B3" t="s">
        <v>5</v>
      </c>
      <c r="C3">
        <v>18000</v>
      </c>
      <c r="D3" t="s">
        <v>11</v>
      </c>
      <c r="H3" t="s">
        <v>18</v>
      </c>
      <c r="I3">
        <f>AVERAGEIFS(C2:C11, D2:D11, "South", C2:C11, "&lt;&gt;")</f>
        <v>66366.666666666672</v>
      </c>
    </row>
    <row r="4" spans="1:9" x14ac:dyDescent="0.25">
      <c r="A4" s="3">
        <v>46025</v>
      </c>
      <c r="B4" t="s">
        <v>6</v>
      </c>
      <c r="D4" t="s">
        <v>11</v>
      </c>
      <c r="H4" t="s">
        <v>19</v>
      </c>
      <c r="I4">
        <f>TRIMMEAN(C2:C11,0.1)</f>
        <v>52712.5</v>
      </c>
    </row>
    <row r="5" spans="1:9" x14ac:dyDescent="0.25">
      <c r="A5" s="3">
        <v>46026</v>
      </c>
      <c r="B5" t="s">
        <v>4</v>
      </c>
      <c r="C5">
        <v>300000</v>
      </c>
      <c r="D5" t="s">
        <v>11</v>
      </c>
      <c r="H5" t="s">
        <v>20</v>
      </c>
      <c r="I5" cm="1">
        <f t="array" ref="I5">AVERAGE(IF(C2:C11&gt;_xlfn.PERCENTILE.INC(C2:C11,0.95),
_xlfn.PERCENTILE.INC(C2:C11,0.95),
IF(C2:C11&lt;_xlfn.PERCENTILE.INC(C2:C11,0.05),
_xlfn.PERCENTILE.INC(C2:C11,0.05),C2:C11
)))</f>
        <v>33553.499999999985</v>
      </c>
    </row>
    <row r="6" spans="1:9" x14ac:dyDescent="0.25">
      <c r="A6" s="3">
        <v>46027</v>
      </c>
      <c r="B6" t="s">
        <v>7</v>
      </c>
      <c r="C6">
        <v>4500</v>
      </c>
      <c r="D6" t="s">
        <v>12</v>
      </c>
    </row>
    <row r="7" spans="1:9" x14ac:dyDescent="0.25">
      <c r="A7" s="3">
        <v>46028</v>
      </c>
      <c r="B7" t="s">
        <v>8</v>
      </c>
      <c r="C7">
        <v>5200</v>
      </c>
      <c r="D7" t="s">
        <v>11</v>
      </c>
    </row>
    <row r="8" spans="1:9" x14ac:dyDescent="0.25">
      <c r="A8" s="3">
        <v>46029</v>
      </c>
      <c r="B8" t="s">
        <v>5</v>
      </c>
      <c r="C8">
        <v>19000</v>
      </c>
      <c r="D8" t="s">
        <v>13</v>
      </c>
    </row>
    <row r="9" spans="1:9" x14ac:dyDescent="0.25">
      <c r="A9" s="3">
        <v>46030</v>
      </c>
      <c r="B9" t="s">
        <v>4</v>
      </c>
      <c r="C9">
        <v>26000</v>
      </c>
      <c r="D9" t="s">
        <v>11</v>
      </c>
    </row>
    <row r="10" spans="1:9" x14ac:dyDescent="0.25">
      <c r="A10" s="3">
        <v>46031</v>
      </c>
      <c r="B10" t="s">
        <v>9</v>
      </c>
      <c r="D10" t="s">
        <v>14</v>
      </c>
    </row>
    <row r="11" spans="1:9" x14ac:dyDescent="0.25">
      <c r="A11" s="3">
        <v>46032</v>
      </c>
      <c r="B11" t="s">
        <v>10</v>
      </c>
      <c r="C11">
        <v>24000</v>
      </c>
      <c r="D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lissy rk</dc:creator>
  <cp:lastModifiedBy>lissy rk</cp:lastModifiedBy>
  <dcterms:created xsi:type="dcterms:W3CDTF">2026-07-28T16:47:33Z</dcterms:created>
  <dcterms:modified xsi:type="dcterms:W3CDTF">2026-07-30T06:37:08Z</dcterms:modified>
</cp:coreProperties>
</file>