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 folder\"/>
    </mc:Choice>
  </mc:AlternateContent>
  <xr:revisionPtr revIDLastSave="0" documentId="13_ncr:1_{915443C1-10ED-4BE9-9D69-EE3E3CFE82AA}" xr6:coauthVersionLast="47" xr6:coauthVersionMax="47" xr10:uidLastSave="{00000000-0000-0000-0000-000000000000}"/>
  <bookViews>
    <workbookView xWindow="-120" yWindow="-120" windowWidth="20730" windowHeight="11160" xr2:uid="{94224C79-66F4-4ACC-BAA2-E547697BB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P18" i="1"/>
  <c r="P19" i="1"/>
  <c r="P20" i="1"/>
  <c r="P21" i="1"/>
  <c r="P22" i="1"/>
  <c r="P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G3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<sst xmlns="http://schemas.openxmlformats.org/spreadsheetml/2006/main" count="155" uniqueCount="106">
  <si>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</si>
  <si>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</si>
  <si>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</si>
  <si>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</si>
  <si>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</si>
  <si>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</si>
  <si>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</si>
  <si>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</si>
  <si>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</si>
  <si>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</si>
  <si>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</si>
  <si>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</si>
  <si>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</si>
  <si>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</si>
  <si>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</si>
  <si>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</si>
  <si>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</si>
  <si>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</si>
  <si>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</si>
  <si>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</si>
  <si>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</si>
  <si>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</si>
  <si>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</si>
  <si>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</si>
  <si>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</si>
  <si>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</si>
  <si>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</si>
  <si>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</si>
  <si>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</si>
  <si>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</si>
  <si>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</si>
  <si>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</si>
  <si>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</si>
  <si>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</si>
  <si>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</si>
  <si>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</si>
  <si>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</si>
  <si>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</si>
  <si>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</si>
  <si>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</si>
  <si>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</si>
  <si>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</si>
  <si>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</si>
  <si>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</si>
  <si>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</si>
  <si>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</si>
  <si>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</si>
  <si>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</si>
  <si>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</si>
  <si>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</si>
  <si>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</si>
  <si>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</si>
  <si>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</si>
  <si>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</si>
  <si>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</si>
  <si>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</si>
  <si>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</si>
  <si>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</si>
  <si>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</si>
  <si>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</si>
  <si>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</si>
  <si>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</si>
  <si>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</si>
  <si>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</si>
  <si>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</si>
  <si>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</si>
  <si>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</si>
  <si>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</si>
  <si>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</si>
  <si>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</si>
  <si>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</si>
  <si>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</si>
  <si>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</si>
  <si>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</si>
  <si>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</si>
  <si>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</si>
  <si>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</si>
  <si>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</si>
  <si>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</si>
  <si>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</si>
  <si>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</si>
  <si>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</si>
  <si>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</si>
  <si>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</si>
  <si>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</si>
  <si>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</si>
  <si>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</si>
  <si>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</si>
  <si>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</si>
  <si>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</si>
  <si>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</si>
  <si>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</si>
  <si>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</si>
  <si>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</si>
  <si>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</si>
  <si>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</si>
  <si>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</si>
  <si>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 of the all product=</t>
  </si>
  <si>
    <t>Count=</t>
  </si>
  <si>
    <t>Average price of the product=</t>
  </si>
  <si>
    <t>Minimum price among all product=</t>
  </si>
  <si>
    <t>Maximum price among all product=</t>
  </si>
  <si>
    <t>Total price for product in the electronics=</t>
  </si>
  <si>
    <t>Count of product&lt;100=</t>
  </si>
  <si>
    <t>Added coloumns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</si>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</sst>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/>
    <xf numFmtId="0" fontId="3" fillId="3" borderId="0" xfId="1" applyFont="1" applyFill="1"/>
    <xf numFmtId="0" fontId="4" fillId="4" borderId="0" xfId="0" applyFont="1" applyFill="1"/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Normal 2" xfId="1" xr:uid="{F8F9D375-3C52-4625-854C-9CF526921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96F6-65AB-4574-AAA5-0D0AAA06EC09}">
  <dimension ref="A1:P48"/>
  <sheetViews>
    <sheetView tabSelected="1" zoomScale="80" zoomScaleNormal="80" workbookViewId="0">
      <selection activeCell="O15" sqref="O15:P15"/>
    </sheetView>
  </sheetViews>
  <sheetFormatPr defaultRowHeight="15" x14ac:dyDescent="0.25"/>
  <cols>
    <col min="1" max="1" width="12.28515625" customWidth="1"/>
    <col min="2" max="2" width="14.140625" customWidth="1"/>
    <col min="3" max="3" width="12" customWidth="1"/>
    <col min="4" max="4" width="10.85546875" customWidth="1"/>
    <col min="5" max="5" width="11.85546875" customWidth="1"/>
    <col min="6" max="6" width="11.7109375" customWidth="1"/>
    <col min="7" max="7" width="14.28515625" customWidth="1"/>
    <col min="8" max="8" width="11.85546875" customWidth="1"/>
    <col min="9" max="9" width="14.85546875" customWidth="1"/>
    <col min="15" max="15" width="36.85546875" customWidth="1"/>
    <col min="16" max="16" width="14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  <c r="H1" s="2" t="s">
        <v>94</v>
      </c>
      <c r="I1" s="2" t="s">
        <v>95</v>
      </c>
      <c r="J1" s="2" t="s">
        <v>96</v>
      </c>
    </row>
    <row r="2" spans="1:16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6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t="str">
        <f>IF(D3&gt;=500,"High price","Standard price")</f>
        <v>Standard price</v>
      </c>
      <c r="H3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</row>
    <row r="4" spans="1:16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t="str">
        <f t="shared" ref="G4:G35" si="3">IF(D4&gt;=500,"High price","Standard price")</f>
        <v>Standard price</v>
      </c>
      <c r="H4" t="str">
        <f t="shared" si="0"/>
        <v>03</v>
      </c>
      <c r="I4" t="str">
        <f t="shared" si="1"/>
        <v>US</v>
      </c>
      <c r="J4" t="str">
        <f t="shared" si="2"/>
        <v>MAR</v>
      </c>
    </row>
    <row r="5" spans="1:16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t="str">
        <f t="shared" si="3"/>
        <v>High price</v>
      </c>
      <c r="H5" t="str">
        <f t="shared" si="0"/>
        <v>11</v>
      </c>
      <c r="I5" t="str">
        <f t="shared" si="1"/>
        <v>US</v>
      </c>
      <c r="J5" t="str">
        <f t="shared" si="2"/>
        <v>APR</v>
      </c>
    </row>
    <row r="6" spans="1:16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t="str">
        <f t="shared" si="3"/>
        <v>Standard price</v>
      </c>
      <c r="H6" t="str">
        <f t="shared" si="0"/>
        <v>22</v>
      </c>
      <c r="I6" t="str">
        <f t="shared" si="1"/>
        <v>US</v>
      </c>
      <c r="J6" t="str">
        <f t="shared" si="2"/>
        <v>MAY</v>
      </c>
    </row>
    <row r="7" spans="1:16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t="str">
        <f t="shared" si="3"/>
        <v>Standard price</v>
      </c>
      <c r="H7" t="str">
        <f t="shared" si="0"/>
        <v>07</v>
      </c>
      <c r="I7" t="str">
        <f t="shared" si="1"/>
        <v>UK</v>
      </c>
      <c r="J7" t="str">
        <f t="shared" si="2"/>
        <v>JUN</v>
      </c>
    </row>
    <row r="8" spans="1:16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t="str">
        <f t="shared" si="3"/>
        <v>Standard price</v>
      </c>
      <c r="H8" t="str">
        <f t="shared" si="0"/>
        <v>19</v>
      </c>
      <c r="I8" t="str">
        <f t="shared" si="1"/>
        <v>UK</v>
      </c>
      <c r="J8" t="str">
        <f t="shared" si="2"/>
        <v>JUL</v>
      </c>
    </row>
    <row r="9" spans="1:16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t="str">
        <f t="shared" si="3"/>
        <v>Standard price</v>
      </c>
      <c r="H9" t="str">
        <f t="shared" si="0"/>
        <v>23</v>
      </c>
      <c r="I9" t="str">
        <f t="shared" si="1"/>
        <v>UK</v>
      </c>
      <c r="J9" t="str">
        <f t="shared" si="2"/>
        <v>AUG</v>
      </c>
    </row>
    <row r="10" spans="1:16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t="str">
        <f t="shared" si="3"/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6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t="str">
        <f t="shared" si="3"/>
        <v>Standard price</v>
      </c>
      <c r="H11" t="str">
        <f t="shared" si="0"/>
        <v>14</v>
      </c>
      <c r="I11" t="str">
        <f t="shared" si="1"/>
        <v>UK</v>
      </c>
      <c r="J11" t="str">
        <f t="shared" si="2"/>
        <v>OCT</v>
      </c>
    </row>
    <row r="12" spans="1:16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t="str">
        <f t="shared" si="3"/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6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t="str">
        <f t="shared" si="3"/>
        <v>Standard price</v>
      </c>
      <c r="H13" t="str">
        <f t="shared" si="0"/>
        <v>25</v>
      </c>
      <c r="I13" t="str">
        <f t="shared" si="1"/>
        <v>AU</v>
      </c>
      <c r="J13" t="str">
        <f t="shared" si="2"/>
        <v>NOV</v>
      </c>
    </row>
    <row r="14" spans="1:16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t="str">
        <f t="shared" si="3"/>
        <v>Standard price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6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t="str">
        <f t="shared" si="3"/>
        <v>Standard price</v>
      </c>
      <c r="H15" t="str">
        <f t="shared" si="0"/>
        <v>18</v>
      </c>
      <c r="I15" t="str">
        <f t="shared" si="1"/>
        <v>CA</v>
      </c>
      <c r="J15" t="str">
        <f t="shared" si="2"/>
        <v>FEB</v>
      </c>
      <c r="O15" s="7" t="s">
        <v>105</v>
      </c>
      <c r="P15" s="8"/>
    </row>
    <row r="16" spans="1:16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t="str">
        <f t="shared" si="3"/>
        <v>Standard price</v>
      </c>
      <c r="H16" t="str">
        <f t="shared" si="0"/>
        <v>16</v>
      </c>
      <c r="I16" t="str">
        <f t="shared" si="1"/>
        <v>ES</v>
      </c>
      <c r="J16" t="str">
        <f t="shared" si="2"/>
        <v>APR</v>
      </c>
      <c r="O16" s="5" t="s">
        <v>97</v>
      </c>
      <c r="P16" s="5">
        <f>SUM(D2:D35)</f>
        <v>10100</v>
      </c>
    </row>
    <row r="17" spans="1:16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t="str">
        <f t="shared" si="3"/>
        <v>Standard price</v>
      </c>
      <c r="H17" t="str">
        <f t="shared" si="0"/>
        <v>21</v>
      </c>
      <c r="I17" t="str">
        <f t="shared" si="1"/>
        <v>CA</v>
      </c>
      <c r="J17" t="str">
        <f t="shared" si="2"/>
        <v>AUG</v>
      </c>
      <c r="O17" s="5" t="s">
        <v>98</v>
      </c>
      <c r="P17" s="5">
        <f>COUNTA(B2:B35)</f>
        <v>34</v>
      </c>
    </row>
    <row r="18" spans="1:16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t="str">
        <f t="shared" si="3"/>
        <v>Standard price</v>
      </c>
      <c r="H18" t="str">
        <f t="shared" si="0"/>
        <v>20</v>
      </c>
      <c r="I18" t="str">
        <f t="shared" si="1"/>
        <v>CN</v>
      </c>
      <c r="J18" t="str">
        <f t="shared" si="2"/>
        <v>AUG</v>
      </c>
      <c r="O18" s="5" t="s">
        <v>99</v>
      </c>
      <c r="P18" s="5">
        <f>AVERAGE(D2:D35)</f>
        <v>297.05882352941177</v>
      </c>
    </row>
    <row r="19" spans="1:16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t="str">
        <f t="shared" si="3"/>
        <v>High price</v>
      </c>
      <c r="H19" t="str">
        <f t="shared" si="0"/>
        <v>27</v>
      </c>
      <c r="I19" t="str">
        <f t="shared" si="1"/>
        <v>IT</v>
      </c>
      <c r="J19" t="str">
        <f t="shared" si="2"/>
        <v>JAN</v>
      </c>
      <c r="O19" s="5" t="s">
        <v>100</v>
      </c>
      <c r="P19" s="5">
        <f>MIN(D2:D35)</f>
        <v>30</v>
      </c>
    </row>
    <row r="20" spans="1:16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t="str">
        <f t="shared" si="3"/>
        <v>Standard price</v>
      </c>
      <c r="H20" t="str">
        <f t="shared" si="0"/>
        <v>01</v>
      </c>
      <c r="I20" t="str">
        <f t="shared" si="1"/>
        <v>UK</v>
      </c>
      <c r="J20" t="str">
        <f t="shared" si="2"/>
        <v>MAR</v>
      </c>
      <c r="O20" s="5" t="s">
        <v>101</v>
      </c>
      <c r="P20" s="5">
        <f>MAX(D2:D35)</f>
        <v>1000</v>
      </c>
    </row>
    <row r="21" spans="1:16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t="str">
        <f t="shared" si="3"/>
        <v>Standard price</v>
      </c>
      <c r="H21" t="str">
        <f t="shared" si="0"/>
        <v>14</v>
      </c>
      <c r="I21" t="str">
        <f t="shared" si="1"/>
        <v>US</v>
      </c>
      <c r="J21" t="str">
        <f t="shared" si="2"/>
        <v>AUG</v>
      </c>
      <c r="O21" s="5" t="s">
        <v>102</v>
      </c>
      <c r="P21" s="5">
        <f>SUMIF(F2:F35,"Electronics",D2:D35)</f>
        <v>8050</v>
      </c>
    </row>
    <row r="22" spans="1:16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t="str">
        <f t="shared" si="3"/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  <c r="O22" s="5" t="s">
        <v>103</v>
      </c>
      <c r="P22" s="5">
        <f>COUNTIF(D2:D35,"&lt;100")</f>
        <v>11</v>
      </c>
    </row>
    <row r="23" spans="1:16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t="str">
        <f t="shared" si="3"/>
        <v>Standard price</v>
      </c>
      <c r="H23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6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t="str">
        <f t="shared" si="3"/>
        <v>Standard price</v>
      </c>
      <c r="H24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6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t="str">
        <f t="shared" si="3"/>
        <v>Standard price</v>
      </c>
      <c r="H25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6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t="str">
        <f t="shared" si="3"/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6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t="str">
        <f t="shared" si="3"/>
        <v>Standard price</v>
      </c>
      <c r="H27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6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t="str">
        <f t="shared" si="3"/>
        <v>Standard price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6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t="str">
        <f t="shared" si="3"/>
        <v>Standard price</v>
      </c>
      <c r="H29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6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t="str">
        <f t="shared" si="3"/>
        <v>Standard price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6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t="str">
        <f t="shared" si="3"/>
        <v>Standard price</v>
      </c>
      <c r="H31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6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t="str">
        <f t="shared" si="3"/>
        <v>Standard price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t="str">
        <f t="shared" si="3"/>
        <v>Standard price</v>
      </c>
      <c r="H33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t="str">
        <f t="shared" si="3"/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t="str">
        <f t="shared" si="3"/>
        <v>Standard price</v>
      </c>
      <c r="H35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x14ac:dyDescent="0.25">
      <c r="A36" s="1"/>
      <c r="B36" s="1"/>
      <c r="C36" s="1"/>
      <c r="D36" s="1"/>
      <c r="E36" s="1"/>
      <c r="F36" s="1"/>
      <c r="G36" s="6" t="s">
        <v>104</v>
      </c>
      <c r="H36" s="6"/>
      <c r="I36" s="6"/>
      <c r="J36" s="6"/>
    </row>
    <row r="37" spans="1:10" x14ac:dyDescent="0.25">
      <c r="A37" s="1"/>
      <c r="B37" s="1"/>
      <c r="C37" s="1"/>
      <c r="D37" s="1"/>
      <c r="E37" s="1"/>
      <c r="F37" s="1"/>
      <c r="G37" s="1"/>
    </row>
    <row r="38" spans="1:10" x14ac:dyDescent="0.25">
      <c r="A38" s="1"/>
      <c r="B38" s="1"/>
      <c r="C38" s="1"/>
      <c r="D38" s="1"/>
      <c r="E38" s="1"/>
      <c r="F38" s="1"/>
      <c r="G38" s="1"/>
    </row>
    <row r="39" spans="1:10" x14ac:dyDescent="0.25">
      <c r="A39" s="1"/>
      <c r="B39" s="1"/>
      <c r="C39" s="1"/>
      <c r="D39" s="1"/>
      <c r="E39" s="1"/>
      <c r="F39" s="1"/>
      <c r="G39" s="1"/>
    </row>
    <row r="40" spans="1:10" x14ac:dyDescent="0.25">
      <c r="A40" s="1"/>
      <c r="B40" s="1"/>
      <c r="C40" s="1"/>
      <c r="D40" s="1"/>
      <c r="E40" s="1"/>
      <c r="F40" s="1"/>
      <c r="G40" s="1"/>
    </row>
    <row r="41" spans="1:10" x14ac:dyDescent="0.25">
      <c r="A41" s="1"/>
      <c r="B41" s="1"/>
      <c r="C41" s="1"/>
      <c r="D41" s="1"/>
      <c r="E41" s="1"/>
      <c r="F41" s="1"/>
      <c r="G41" s="1"/>
    </row>
    <row r="42" spans="1:10" x14ac:dyDescent="0.25">
      <c r="A42" s="1"/>
      <c r="B42" s="1"/>
      <c r="C42" s="1"/>
      <c r="D42" s="1"/>
      <c r="E42" s="1"/>
      <c r="F42" s="1"/>
      <c r="G42" s="1"/>
    </row>
    <row r="43" spans="1:10" x14ac:dyDescent="0.25">
      <c r="A43" s="1"/>
      <c r="B43" s="1"/>
      <c r="C43" s="1"/>
      <c r="D43" s="1"/>
      <c r="E43" s="1"/>
      <c r="F43" s="1"/>
      <c r="G43" s="1"/>
    </row>
    <row r="44" spans="1:10" x14ac:dyDescent="0.25">
      <c r="A44" s="1"/>
      <c r="B44" s="1"/>
      <c r="C44" s="1"/>
      <c r="D44" s="1"/>
      <c r="E44" s="1"/>
      <c r="F44" s="1"/>
      <c r="G44" s="1"/>
    </row>
    <row r="45" spans="1:10" x14ac:dyDescent="0.25">
      <c r="A45" s="1"/>
      <c r="B45" s="1"/>
      <c r="C45" s="1"/>
      <c r="D45" s="1"/>
      <c r="E45" s="1"/>
      <c r="F45" s="1"/>
      <c r="G45" s="1"/>
    </row>
    <row r="46" spans="1:10" x14ac:dyDescent="0.25">
      <c r="A46" s="1"/>
      <c r="B46" s="1"/>
      <c r="C46" s="1"/>
      <c r="D46" s="1"/>
      <c r="E46" s="1"/>
      <c r="F46" s="1"/>
      <c r="G46" s="1"/>
    </row>
    <row r="47" spans="1:10" x14ac:dyDescent="0.25">
      <c r="A47" s="1"/>
      <c r="B47" s="1"/>
      <c r="C47" s="1"/>
      <c r="D47" s="1"/>
      <c r="E47" s="1"/>
      <c r="F47" s="1"/>
      <c r="G47" s="1"/>
    </row>
    <row r="48" spans="1:10" x14ac:dyDescent="0.25">
      <c r="A48" s="1"/>
      <c r="B48" s="1"/>
      <c r="C48" s="1"/>
      <c r="D48" s="1"/>
      <c r="E48" s="1"/>
      <c r="F48" s="1"/>
      <c r="G48" s="1"/>
    </row>
  </sheetData>
  <mergeCells count="2">
    <mergeCell ref="G36:J36"/>
    <mergeCell ref="O15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lissy rk</dc:creator>
  <cp:lastModifiedBy>lissy rk</cp:lastModifiedBy>
  <dcterms:created xsi:type="dcterms:W3CDTF">2026-07-26T05:55:18Z</dcterms:created>
  <dcterms:modified xsi:type="dcterms:W3CDTF">2026-07-27T06:28:22Z</dcterms:modified>
</cp:coreProperties>
</file>